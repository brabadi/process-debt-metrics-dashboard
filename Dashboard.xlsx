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raia\OneDrive\Escritorio\"/>
    </mc:Choice>
  </mc:AlternateContent>
  <xr:revisionPtr revIDLastSave="0" documentId="13_ncr:1_{E6846406-C04D-41C3-ABA8-CD708F94228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icio" sheetId="1" r:id="rId1"/>
    <sheet name="Ingreso de Dato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45" i="2" l="1"/>
  <c r="F42" i="2"/>
  <c r="F43" i="2"/>
  <c r="F44" i="2"/>
  <c r="E62" i="2" s="1"/>
  <c r="E63" i="2" s="1"/>
  <c r="F25" i="2"/>
  <c r="F22" i="2"/>
  <c r="F23" i="2"/>
  <c r="F24" i="2"/>
  <c r="E50" i="2" s="1"/>
  <c r="E51" i="2" s="1"/>
  <c r="F54" i="2" l="1"/>
  <c r="E54" i="2"/>
  <c r="F66" i="2"/>
  <c r="E66" i="2"/>
  <c r="F47" i="2"/>
  <c r="E68" i="2" s="1"/>
  <c r="E69" i="2" s="1"/>
  <c r="F72" i="2" l="1"/>
  <c r="E72" i="2"/>
</calcChain>
</file>

<file path=xl/sharedStrings.xml><?xml version="1.0" encoding="utf-8"?>
<sst xmlns="http://schemas.openxmlformats.org/spreadsheetml/2006/main" count="141" uniqueCount="95">
  <si>
    <t>Campo</t>
  </si>
  <si>
    <t>Información</t>
  </si>
  <si>
    <t>Nombre del Proyecto</t>
  </si>
  <si>
    <t>Organización</t>
  </si>
  <si>
    <t>Fecha</t>
  </si>
  <si>
    <t>Evaluador</t>
  </si>
  <si>
    <t>N° Integrantes</t>
  </si>
  <si>
    <t>Duración</t>
  </si>
  <si>
    <t>Metodología</t>
  </si>
  <si>
    <t>Información del Proyecto</t>
  </si>
  <si>
    <t>Columna1</t>
  </si>
  <si>
    <t>Ingreso Causas</t>
  </si>
  <si>
    <t>ID</t>
  </si>
  <si>
    <t>Métrica</t>
  </si>
  <si>
    <t>Valor (%)</t>
  </si>
  <si>
    <t>NA</t>
  </si>
  <si>
    <t>Observaciones</t>
  </si>
  <si>
    <t>%ICAR</t>
  </si>
  <si>
    <t>%ICPD</t>
  </si>
  <si>
    <t>%IFI</t>
  </si>
  <si>
    <t>%IDD</t>
  </si>
  <si>
    <t>%RMD</t>
  </si>
  <si>
    <t>%PER</t>
  </si>
  <si>
    <t>%PDI</t>
  </si>
  <si>
    <t>%SD</t>
  </si>
  <si>
    <t>%DA</t>
  </si>
  <si>
    <t>%IO</t>
  </si>
  <si>
    <t>%CD</t>
  </si>
  <si>
    <t>%FC</t>
  </si>
  <si>
    <t>%DDS</t>
  </si>
  <si>
    <t>%FP</t>
  </si>
  <si>
    <t>%GI</t>
  </si>
  <si>
    <t>%DSI</t>
  </si>
  <si>
    <t>%PI</t>
  </si>
  <si>
    <t>%FH</t>
  </si>
  <si>
    <t>Indicador de cumplimiento del proceso de análisis de requisitos.</t>
  </si>
  <si>
    <t>Indicador de cumplimiento del proceso definido</t>
  </si>
  <si>
    <t>Indicador de incidencia de fallas de infraestructura</t>
  </si>
  <si>
    <t>Indicador de deficiencia en la documentación</t>
  </si>
  <si>
    <t>Indicador de requisitos mal definidos</t>
  </si>
  <si>
    <t>Indicador de presión por entrega rápida</t>
  </si>
  <si>
    <t>Indicador de prácticas de desarrollo inadecuadas</t>
  </si>
  <si>
    <t>Indicador de sincronización deficiente</t>
  </si>
  <si>
    <t>Indicador de despliegue apresurado</t>
  </si>
  <si>
    <t>Indicador de integraciones oportunistas</t>
  </si>
  <si>
    <t>Indicador de comunicación deficiente</t>
  </si>
  <si>
    <t>Indicador de falta de capacitación</t>
  </si>
  <si>
    <t>Indicador de decisiones de diseño subóptimas</t>
  </si>
  <si>
    <t>Indicador de falta de pruebas</t>
  </si>
  <si>
    <t>Indicador de gestión inadecuada</t>
  </si>
  <si>
    <t>Indicador de decisiones sociotécnicas inadecuadas</t>
  </si>
  <si>
    <t>Indicador de planificación inadecuada</t>
  </si>
  <si>
    <t>Indicador de factores humanos</t>
  </si>
  <si>
    <t>Ingreso Impactos</t>
  </si>
  <si>
    <t>%AC</t>
  </si>
  <si>
    <t>%RE</t>
  </si>
  <si>
    <t>%LimPM</t>
  </si>
  <si>
    <t>%DEO</t>
  </si>
  <si>
    <t>%RMG</t>
  </si>
  <si>
    <t>%DPT</t>
  </si>
  <si>
    <t>%RT</t>
  </si>
  <si>
    <t>%DCE</t>
  </si>
  <si>
    <t>%DCC</t>
  </si>
  <si>
    <t>%LSR</t>
  </si>
  <si>
    <t>%CGP</t>
  </si>
  <si>
    <t>%IPE</t>
  </si>
  <si>
    <t>%DCP</t>
  </si>
  <si>
    <t>Indicador de aumento de costos.</t>
  </si>
  <si>
    <t>Indicador de retrasos en las entregas.</t>
  </si>
  <si>
    <t>Indicador de limitaciones en la aplicación de prácticas modernas.</t>
  </si>
  <si>
    <t>Indicador de deterioro de eficiencia operativa.</t>
  </si>
  <si>
    <t>Indicador de riesgos mal gestionados.</t>
  </si>
  <si>
    <t>Indicador de dificultad en la planificación y priorización de tareas.</t>
  </si>
  <si>
    <t>Indicador de retrabajo.</t>
  </si>
  <si>
    <t>Indicador de desmotivación y confusión en el equipo de trabajo.</t>
  </si>
  <si>
    <t>Indicador de limitaciones en la sostenibilidad y rendimiento del sistema.</t>
  </si>
  <si>
    <t>Indicador de complejidad en la gestión de proyectos.</t>
  </si>
  <si>
    <t>Indicador de insatisfacción de las partes interesadas y del equipo de desarrollo.</t>
  </si>
  <si>
    <t>Indicador de calidad percibida del producto.</t>
  </si>
  <si>
    <t>Indicador de calidad del proceso de construcción.</t>
  </si>
  <si>
    <t>No</t>
  </si>
  <si>
    <t>f25</t>
  </si>
  <si>
    <t>f45</t>
  </si>
  <si>
    <t>Rango de puntuación</t>
  </si>
  <si>
    <t>Nivel de cumplimiento</t>
  </si>
  <si>
    <t>Bajo</t>
  </si>
  <si>
    <t>Moderado</t>
  </si>
  <si>
    <t>Alto</t>
  </si>
  <si>
    <t>Crítico</t>
  </si>
  <si>
    <t>Grados</t>
  </si>
  <si>
    <t>x</t>
  </si>
  <si>
    <t>y</t>
  </si>
  <si>
    <t>Inicial</t>
  </si>
  <si>
    <t>Final</t>
  </si>
  <si>
    <t>dpg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</si>
</sst>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FD123"/>
        <bgColor indexed="64"/>
      </patternFill>
    </fill>
    <fill>
      <patternFill patternType="solid">
        <fgColor rgb="FF00D23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justify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justify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justify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2" fontId="0" fillId="0" borderId="1" xfId="0" applyNumberFormat="1" applyBorder="1" applyAlignment="1">
      <alignment horizontal="center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 wrapText="1"/>
    </xf>
    <xf numFmtId="9" fontId="0" fillId="0" borderId="0" xfId="1" applyFont="1" applyBorder="1" applyAlignment="1">
      <alignment horizontal="center" vertical="center" wrapText="1"/>
    </xf>
    <xf numFmtId="0" fontId="5" fillId="0" borderId="1" xfId="0" applyFont="1" applyBorder="1"/>
    <xf numFmtId="2" fontId="0" fillId="0" borderId="8" xfId="0" applyNumberFormat="1" applyBorder="1" applyAlignment="1">
      <alignment horizontal="center"/>
    </xf>
  </cellXfs>
  <cellStyles count="2">
    <cellStyle name="Normal" xfId="0" builtinId="0"/>
    <cellStyle name="Porcentaje" xfId="1" builtinId="5"/>
  </cellStyles>
  <dxfs count="17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outline="0">
        <left style="medium">
          <color indexed="64"/>
        </left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outline="0">
        <left style="medium">
          <color indexed="64"/>
        </left>
        <right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outline="0">
        <left style="medium">
          <color indexed="64"/>
        </left>
        <right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  <border outline="0">
        <left style="medium">
          <color indexed="64"/>
        </left>
        <right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justify" vertical="center" textRotation="0" wrapText="0" indent="0" justifyLastLine="0" shrinkToFit="0" readingOrder="0"/>
      <border outline="0">
        <right style="medium">
          <color indexed="64"/>
        </right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outline="0">
        <left style="medium">
          <color indexed="64"/>
        </left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outline="0">
        <left style="medium">
          <color indexed="64"/>
        </left>
        <right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border outline="0">
        <bottom style="medium">
          <color indexed="64"/>
        </bottom>
      </border>
    </dxf>
  </dxfs>
  <tableStyles count="0" defaultTableStyle="TableStyleMedium2" defaultPivotStyle="PivotStyleLight16"/>
  <colors>
    <mruColors>
      <color rgb="FFFF0000"/>
      <color rgb="FFFFC000"/>
      <color rgb="FF9FD123"/>
      <color rgb="FF00D237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O" b="1">
                <a:latin typeface="Arial" panose="020B0604020202020204" pitchFamily="34" charset="0"/>
                <a:cs typeface="Arial" panose="020B0604020202020204" pitchFamily="34" charset="0"/>
              </a:rPr>
              <a:t>Promedio Causas</a:t>
            </a:r>
          </a:p>
        </c:rich>
      </c:tx>
      <c:layout>
        <c:manualLayout>
          <c:xMode val="edge"/>
          <c:yMode val="edge"/>
          <c:x val="0.32984522553237544"/>
          <c:y val="0.592469545957918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24102123598186589"/>
          <c:y val="9.1485221955951157E-2"/>
          <c:w val="0.59876560884434904"/>
          <c:h val="0.85779014036288947"/>
        </c:manualLayout>
      </c:layout>
      <c:doughnutChart>
        <c:varyColors val="1"/>
        <c:ser>
          <c:idx val="0"/>
          <c:order val="0"/>
          <c:explosion val="4"/>
          <c:dPt>
            <c:idx val="0"/>
            <c:bubble3D val="0"/>
            <c:spPr>
              <a:solidFill>
                <a:srgbClr val="00D2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17-4B9D-9CF6-591952B060B0}"/>
              </c:ext>
            </c:extLst>
          </c:dPt>
          <c:dPt>
            <c:idx val="1"/>
            <c:bubble3D val="0"/>
            <c:spPr>
              <a:solidFill>
                <a:srgbClr val="9FD12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17-4B9D-9CF6-591952B060B0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17-4B9D-9CF6-591952B060B0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217-4B9D-9CF6-591952B060B0}"/>
              </c:ext>
            </c:extLst>
          </c:dPt>
          <c:dPt>
            <c:idx val="4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217-4B9D-9CF6-591952B060B0}"/>
              </c:ext>
            </c:extLst>
          </c:dPt>
          <c:dLbls>
            <c:dLbl>
              <c:idx val="0"/>
              <c:layout>
                <c:manualLayout>
                  <c:x val="-7.2164813161241445E-2"/>
                  <c:y val="-0.1411957952930302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20%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4072300240820399E-2"/>
                      <c:h val="9.4047837043625349E-2"/>
                    </c:manualLayout>
                  </c15:layout>
                  <c15:showDataLabelsRange val="1"/>
                </c:ext>
                <c:ext xmlns:c16="http://schemas.microsoft.com/office/drawing/2014/chart" uri="{C3380CC4-5D6E-409C-BE32-E72D297353CC}">
                  <c16:uniqueId val="{00000001-3217-4B9D-9CF6-591952B060B0}"/>
                </c:ext>
              </c:extLst>
            </c:dLbl>
            <c:dLbl>
              <c:idx val="1"/>
              <c:layout>
                <c:manualLayout>
                  <c:x val="5.1546391752577254E-2"/>
                  <c:y val="-0.1716500553709856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50%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3-3217-4B9D-9CF6-591952B060B0}"/>
                </c:ext>
              </c:extLst>
            </c:dLbl>
            <c:dLbl>
              <c:idx val="2"/>
              <c:layout>
                <c:manualLayout>
                  <c:x val="0.14432989690721648"/>
                  <c:y val="-2.76854928017718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80%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5-3217-4B9D-9CF6-591952B060B0}"/>
                </c:ext>
              </c:extLst>
            </c:dLbl>
            <c:dLbl>
              <c:idx val="3"/>
              <c:layout>
                <c:manualLayout>
                  <c:x val="0.11683848797250847"/>
                  <c:y val="3.87596899224806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100%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7-3217-4B9D-9CF6-591952B060B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217-4B9D-9CF6-591952B060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'Ingreso de Datos'!$F$56:$F$60</c:f>
              <c:numCache>
                <c:formatCode>0.00</c:formatCode>
                <c:ptCount val="5"/>
                <c:pt idx="0">
                  <c:v>20</c:v>
                </c:pt>
                <c:pt idx="1">
                  <c:v>30</c:v>
                </c:pt>
                <c:pt idx="2">
                  <c:v>30</c:v>
                </c:pt>
                <c:pt idx="3">
                  <c:v>20</c:v>
                </c:pt>
                <c:pt idx="4">
                  <c:v>100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'[1]Mecanismo ecológico-Rec especif'!$J$3:$J$7</c15:f>
                <c15:dlblRangeCache>
                  <c:ptCount val="5"/>
                  <c:pt idx="0">
                    <c:v>1,00</c:v>
                  </c:pt>
                  <c:pt idx="1">
                    <c:v>3,25</c:v>
                  </c:pt>
                  <c:pt idx="2">
                    <c:v>5,50</c:v>
                  </c:pt>
                  <c:pt idx="3">
                    <c:v>7,75</c:v>
                  </c:pt>
                  <c:pt idx="4">
                    <c:v>10,00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3217-4B9D-9CF6-591952B06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  <c:holeSize val="45"/>
      </c:doughnutChart>
      <c:scatterChart>
        <c:scatterStyle val="smoothMarker"/>
        <c:varyColors val="0"/>
        <c:ser>
          <c:idx val="1"/>
          <c:order val="1"/>
          <c:tx>
            <c:v>Puntos</c:v>
          </c:tx>
          <c:spPr>
            <a:ln w="38100" cap="rnd">
              <a:solidFill>
                <a:schemeClr val="tx1"/>
              </a:solidFill>
              <a:round/>
              <a:headEnd w="lg" len="lg"/>
              <a:tailEnd type="stealth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'Ingreso de Datos'!$E$53:$E$54</c:f>
              <c:numCache>
                <c:formatCode>General</c:formatCode>
                <c:ptCount val="2"/>
                <c:pt idx="0">
                  <c:v>0</c:v>
                </c:pt>
                <c:pt idx="1">
                  <c:v>-0.54865468234190107</c:v>
                </c:pt>
              </c:numCache>
            </c:numRef>
          </c:xVal>
          <c:yVal>
            <c:numRef>
              <c:f>'Ingreso de Datos'!$F$53:$F$54</c:f>
              <c:numCache>
                <c:formatCode>General</c:formatCode>
                <c:ptCount val="2"/>
                <c:pt idx="0">
                  <c:v>0</c:v>
                </c:pt>
                <c:pt idx="1">
                  <c:v>0.58221820612576847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3217-4B9D-9CF6-591952B06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876447"/>
        <c:axId val="426864799"/>
      </c:scatterChart>
      <c:valAx>
        <c:axId val="426864799"/>
        <c:scaling>
          <c:orientation val="minMax"/>
          <c:max val="1"/>
          <c:min val="-1"/>
        </c:scaling>
        <c:delete val="1"/>
        <c:axPos val="l"/>
        <c:numFmt formatCode="General" sourceLinked="1"/>
        <c:majorTickMark val="out"/>
        <c:minorTickMark val="none"/>
        <c:tickLblPos val="nextTo"/>
        <c:crossAx val="426876447"/>
        <c:crosses val="autoZero"/>
        <c:crossBetween val="midCat"/>
      </c:valAx>
      <c:valAx>
        <c:axId val="426876447"/>
        <c:scaling>
          <c:orientation val="minMax"/>
          <c:max val="1"/>
          <c:min val="-1"/>
        </c:scaling>
        <c:delete val="1"/>
        <c:axPos val="b"/>
        <c:numFmt formatCode="General" sourceLinked="1"/>
        <c:majorTickMark val="out"/>
        <c:minorTickMark val="none"/>
        <c:tickLblPos val="nextTo"/>
        <c:crossAx val="426864799"/>
        <c:crosses val="autoZero"/>
        <c:crossBetween val="midCat"/>
      </c:valAx>
      <c:spPr>
        <a:noFill/>
        <a:ln w="25400"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O" b="1">
                <a:latin typeface="Arial" panose="020B0604020202020204" pitchFamily="34" charset="0"/>
                <a:cs typeface="Arial" panose="020B0604020202020204" pitchFamily="34" charset="0"/>
              </a:rPr>
              <a:t>Promedio Impactos</a:t>
            </a:r>
          </a:p>
        </c:rich>
      </c:tx>
      <c:layout>
        <c:manualLayout>
          <c:xMode val="edge"/>
          <c:yMode val="edge"/>
          <c:x val="0.32984522553237544"/>
          <c:y val="0.592469545957918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24102123598186589"/>
          <c:y val="9.1485221955951157E-2"/>
          <c:w val="0.59876560884434904"/>
          <c:h val="0.85779014036288947"/>
        </c:manualLayout>
      </c:layout>
      <c:doughnutChart>
        <c:varyColors val="1"/>
        <c:ser>
          <c:idx val="0"/>
          <c:order val="0"/>
          <c:explosion val="4"/>
          <c:dPt>
            <c:idx val="0"/>
            <c:bubble3D val="0"/>
            <c:spPr>
              <a:solidFill>
                <a:srgbClr val="00D2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77-4653-B6DF-C2FFBF3A5FEF}"/>
              </c:ext>
            </c:extLst>
          </c:dPt>
          <c:dPt>
            <c:idx val="1"/>
            <c:bubble3D val="0"/>
            <c:spPr>
              <a:solidFill>
                <a:srgbClr val="9FD12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77-4653-B6DF-C2FFBF3A5FEF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77-4653-B6DF-C2FFBF3A5FEF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F77-4653-B6DF-C2FFBF3A5FEF}"/>
              </c:ext>
            </c:extLst>
          </c:dPt>
          <c:dPt>
            <c:idx val="4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F77-4653-B6DF-C2FFBF3A5FEF}"/>
              </c:ext>
            </c:extLst>
          </c:dPt>
          <c:dLbls>
            <c:dLbl>
              <c:idx val="0"/>
              <c:layout>
                <c:manualLayout>
                  <c:x val="-7.2164813161241445E-2"/>
                  <c:y val="-0.1411957952930302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20%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4072300240820399E-2"/>
                      <c:h val="9.4047837043625349E-2"/>
                    </c:manualLayout>
                  </c15:layout>
                  <c15:showDataLabelsRange val="1"/>
                </c:ext>
                <c:ext xmlns:c16="http://schemas.microsoft.com/office/drawing/2014/chart" uri="{C3380CC4-5D6E-409C-BE32-E72D297353CC}">
                  <c16:uniqueId val="{00000001-2F77-4653-B6DF-C2FFBF3A5FEF}"/>
                </c:ext>
              </c:extLst>
            </c:dLbl>
            <c:dLbl>
              <c:idx val="1"/>
              <c:layout>
                <c:manualLayout>
                  <c:x val="5.1546391752577254E-2"/>
                  <c:y val="-0.1716500553709856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50%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3-2F77-4653-B6DF-C2FFBF3A5FEF}"/>
                </c:ext>
              </c:extLst>
            </c:dLbl>
            <c:dLbl>
              <c:idx val="2"/>
              <c:layout>
                <c:manualLayout>
                  <c:x val="0.14432989690721648"/>
                  <c:y val="-2.76854928017718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80%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5-2F77-4653-B6DF-C2FFBF3A5FEF}"/>
                </c:ext>
              </c:extLst>
            </c:dLbl>
            <c:dLbl>
              <c:idx val="3"/>
              <c:layout>
                <c:manualLayout>
                  <c:x val="0.11683848797250847"/>
                  <c:y val="3.87596899224806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100%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7-2F77-4653-B6DF-C2FFBF3A5FE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F77-4653-B6DF-C2FFBF3A5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'Ingreso de Datos'!$F$56:$F$60</c:f>
              <c:numCache>
                <c:formatCode>0.00</c:formatCode>
                <c:ptCount val="5"/>
                <c:pt idx="0">
                  <c:v>20</c:v>
                </c:pt>
                <c:pt idx="1">
                  <c:v>30</c:v>
                </c:pt>
                <c:pt idx="2">
                  <c:v>30</c:v>
                </c:pt>
                <c:pt idx="3">
                  <c:v>20</c:v>
                </c:pt>
                <c:pt idx="4">
                  <c:v>100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'[1]Mecanismo ecológico-Rec especif'!$J$3:$J$7</c15:f>
                <c15:dlblRangeCache>
                  <c:ptCount val="5"/>
                  <c:pt idx="0">
                    <c:v>1,00</c:v>
                  </c:pt>
                  <c:pt idx="1">
                    <c:v>3,25</c:v>
                  </c:pt>
                  <c:pt idx="2">
                    <c:v>5,50</c:v>
                  </c:pt>
                  <c:pt idx="3">
                    <c:v>7,75</c:v>
                  </c:pt>
                  <c:pt idx="4">
                    <c:v>10,00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2F77-4653-B6DF-C2FFBF3A5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  <c:holeSize val="45"/>
      </c:doughnutChart>
      <c:scatterChart>
        <c:scatterStyle val="smoothMarker"/>
        <c:varyColors val="0"/>
        <c:ser>
          <c:idx val="1"/>
          <c:order val="1"/>
          <c:tx>
            <c:v>Puntos</c:v>
          </c:tx>
          <c:spPr>
            <a:ln w="38100" cap="rnd">
              <a:solidFill>
                <a:schemeClr val="tx1"/>
              </a:solidFill>
              <a:round/>
              <a:tailEnd type="stealth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'Ingreso de Datos'!$E$65:$E$66</c:f>
              <c:numCache>
                <c:formatCode>General</c:formatCode>
                <c:ptCount val="2"/>
                <c:pt idx="0">
                  <c:v>0</c:v>
                </c:pt>
                <c:pt idx="1">
                  <c:v>0.64721359549995805</c:v>
                </c:pt>
              </c:numCache>
            </c:numRef>
          </c:xVal>
          <c:yVal>
            <c:numRef>
              <c:f>'Ingreso de Datos'!$F$65:$F$66</c:f>
              <c:numCache>
                <c:formatCode>General</c:formatCode>
                <c:ptCount val="2"/>
                <c:pt idx="0">
                  <c:v>0</c:v>
                </c:pt>
                <c:pt idx="1">
                  <c:v>0.47022820183397851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2F77-4653-B6DF-C2FFBF3A5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876447"/>
        <c:axId val="426864799"/>
      </c:scatterChart>
      <c:valAx>
        <c:axId val="426864799"/>
        <c:scaling>
          <c:orientation val="minMax"/>
          <c:max val="1"/>
          <c:min val="-1"/>
        </c:scaling>
        <c:delete val="1"/>
        <c:axPos val="l"/>
        <c:numFmt formatCode="General" sourceLinked="1"/>
        <c:majorTickMark val="out"/>
        <c:minorTickMark val="none"/>
        <c:tickLblPos val="nextTo"/>
        <c:crossAx val="426876447"/>
        <c:crosses val="autoZero"/>
        <c:crossBetween val="midCat"/>
      </c:valAx>
      <c:valAx>
        <c:axId val="426876447"/>
        <c:scaling>
          <c:orientation val="minMax"/>
          <c:max val="1"/>
          <c:min val="-1"/>
        </c:scaling>
        <c:delete val="1"/>
        <c:axPos val="b"/>
        <c:numFmt formatCode="General" sourceLinked="1"/>
        <c:majorTickMark val="out"/>
        <c:minorTickMark val="none"/>
        <c:tickLblPos val="nextTo"/>
        <c:crossAx val="426864799"/>
        <c:crosses val="autoZero"/>
        <c:crossBetween val="midCat"/>
      </c:valAx>
      <c:spPr>
        <a:noFill/>
        <a:ln w="25400"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O" b="1">
                <a:latin typeface="Arial" panose="020B0604020202020204" pitchFamily="34" charset="0"/>
                <a:cs typeface="Arial" panose="020B0604020202020204" pitchFamily="34" charset="0"/>
              </a:rPr>
              <a:t>Promedio Global</a:t>
            </a:r>
          </a:p>
        </c:rich>
      </c:tx>
      <c:layout>
        <c:manualLayout>
          <c:xMode val="edge"/>
          <c:yMode val="edge"/>
          <c:x val="0.32984522553237544"/>
          <c:y val="0.592469545957918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24102123598186589"/>
          <c:y val="9.1485221955951157E-2"/>
          <c:w val="0.59876560884434904"/>
          <c:h val="0.85779014036288947"/>
        </c:manualLayout>
      </c:layout>
      <c:doughnutChart>
        <c:varyColors val="1"/>
        <c:ser>
          <c:idx val="0"/>
          <c:order val="0"/>
          <c:explosion val="4"/>
          <c:dPt>
            <c:idx val="0"/>
            <c:bubble3D val="0"/>
            <c:spPr>
              <a:solidFill>
                <a:srgbClr val="00D2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5CA-441C-A527-4CD9BD3FC4E9}"/>
              </c:ext>
            </c:extLst>
          </c:dPt>
          <c:dPt>
            <c:idx val="1"/>
            <c:bubble3D val="0"/>
            <c:spPr>
              <a:solidFill>
                <a:srgbClr val="9FD12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CA-441C-A527-4CD9BD3FC4E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5CA-441C-A527-4CD9BD3FC4E9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5CA-441C-A527-4CD9BD3FC4E9}"/>
              </c:ext>
            </c:extLst>
          </c:dPt>
          <c:dPt>
            <c:idx val="4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5CA-441C-A527-4CD9BD3FC4E9}"/>
              </c:ext>
            </c:extLst>
          </c:dPt>
          <c:dLbls>
            <c:dLbl>
              <c:idx val="0"/>
              <c:layout>
                <c:manualLayout>
                  <c:x val="-7.2164813161241445E-2"/>
                  <c:y val="-0.1411957952930302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20%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4072300240820399E-2"/>
                      <c:h val="9.4047837043625349E-2"/>
                    </c:manualLayout>
                  </c15:layout>
                  <c15:showDataLabelsRange val="1"/>
                </c:ext>
                <c:ext xmlns:c16="http://schemas.microsoft.com/office/drawing/2014/chart" uri="{C3380CC4-5D6E-409C-BE32-E72D297353CC}">
                  <c16:uniqueId val="{00000001-05CA-441C-A527-4CD9BD3FC4E9}"/>
                </c:ext>
              </c:extLst>
            </c:dLbl>
            <c:dLbl>
              <c:idx val="1"/>
              <c:layout>
                <c:manualLayout>
                  <c:x val="5.1546391752577254E-2"/>
                  <c:y val="-0.1716500553709856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50%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3-05CA-441C-A527-4CD9BD3FC4E9}"/>
                </c:ext>
              </c:extLst>
            </c:dLbl>
            <c:dLbl>
              <c:idx val="2"/>
              <c:layout>
                <c:manualLayout>
                  <c:x val="0.14432989690721648"/>
                  <c:y val="-2.76854928017718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80%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5-05CA-441C-A527-4CD9BD3FC4E9}"/>
                </c:ext>
              </c:extLst>
            </c:dLbl>
            <c:dLbl>
              <c:idx val="3"/>
              <c:layout>
                <c:manualLayout>
                  <c:x val="0.11683848797250847"/>
                  <c:y val="3.87596899224806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100%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7-05CA-441C-A527-4CD9BD3FC4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5CA-441C-A527-4CD9BD3FC4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'Ingreso de Datos'!$F$56:$F$60</c:f>
              <c:numCache>
                <c:formatCode>0.00</c:formatCode>
                <c:ptCount val="5"/>
                <c:pt idx="0">
                  <c:v>20</c:v>
                </c:pt>
                <c:pt idx="1">
                  <c:v>30</c:v>
                </c:pt>
                <c:pt idx="2">
                  <c:v>30</c:v>
                </c:pt>
                <c:pt idx="3">
                  <c:v>20</c:v>
                </c:pt>
                <c:pt idx="4">
                  <c:v>100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'[1]Mecanismo ecológico-Rec especif'!$J$3:$J$7</c15:f>
                <c15:dlblRangeCache>
                  <c:ptCount val="5"/>
                  <c:pt idx="0">
                    <c:v>1,00</c:v>
                  </c:pt>
                  <c:pt idx="1">
                    <c:v>3,25</c:v>
                  </c:pt>
                  <c:pt idx="2">
                    <c:v>5,50</c:v>
                  </c:pt>
                  <c:pt idx="3">
                    <c:v>7,75</c:v>
                  </c:pt>
                  <c:pt idx="4">
                    <c:v>10,00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05CA-441C-A527-4CD9BD3FC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  <c:holeSize val="45"/>
      </c:doughnutChart>
      <c:scatterChart>
        <c:scatterStyle val="smoothMarker"/>
        <c:varyColors val="0"/>
        <c:ser>
          <c:idx val="1"/>
          <c:order val="1"/>
          <c:tx>
            <c:v>Puntos</c:v>
          </c:tx>
          <c:spPr>
            <a:ln w="38100" cap="rnd">
              <a:solidFill>
                <a:schemeClr val="tx1"/>
              </a:solidFill>
              <a:round/>
              <a:tailEnd type="stealth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'Ingreso de Datos'!$E$71:$E$72</c:f>
              <c:numCache>
                <c:formatCode>General</c:formatCode>
                <c:ptCount val="2"/>
                <c:pt idx="0">
                  <c:v>0</c:v>
                </c:pt>
                <c:pt idx="1">
                  <c:v>7.45915887084002E-2</c:v>
                </c:pt>
              </c:numCache>
            </c:numRef>
          </c:xVal>
          <c:yVal>
            <c:numRef>
              <c:f>'Ingreso de Datos'!$F$71:$F$72</c:f>
              <c:numCache>
                <c:formatCode>General</c:formatCode>
                <c:ptCount val="2"/>
                <c:pt idx="0">
                  <c:v>0</c:v>
                </c:pt>
                <c:pt idx="1">
                  <c:v>0.79651496840546376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5CA-441C-A527-4CD9BD3FC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876447"/>
        <c:axId val="426864799"/>
      </c:scatterChart>
      <c:valAx>
        <c:axId val="426864799"/>
        <c:scaling>
          <c:orientation val="minMax"/>
          <c:max val="1"/>
          <c:min val="-1"/>
        </c:scaling>
        <c:delete val="1"/>
        <c:axPos val="l"/>
        <c:numFmt formatCode="General" sourceLinked="1"/>
        <c:majorTickMark val="out"/>
        <c:minorTickMark val="none"/>
        <c:tickLblPos val="nextTo"/>
        <c:crossAx val="426876447"/>
        <c:crosses val="autoZero"/>
        <c:crossBetween val="midCat"/>
      </c:valAx>
      <c:valAx>
        <c:axId val="426876447"/>
        <c:scaling>
          <c:orientation val="minMax"/>
          <c:max val="1"/>
          <c:min val="-1"/>
        </c:scaling>
        <c:delete val="1"/>
        <c:axPos val="b"/>
        <c:numFmt formatCode="General" sourceLinked="1"/>
        <c:majorTickMark val="out"/>
        <c:minorTickMark val="none"/>
        <c:tickLblPos val="nextTo"/>
        <c:crossAx val="426864799"/>
        <c:crosses val="autoZero"/>
        <c:crossBetween val="midCat"/>
      </c:valAx>
      <c:spPr>
        <a:noFill/>
        <a:ln w="25400"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11</xdr:col>
      <xdr:colOff>624840</xdr:colOff>
      <xdr:row>19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135663D-9DD5-4DAD-BD4F-8DBCC23EE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</xdr:colOff>
      <xdr:row>20</xdr:row>
      <xdr:rowOff>15240</xdr:rowOff>
    </xdr:from>
    <xdr:to>
      <xdr:col>11</xdr:col>
      <xdr:colOff>632460</xdr:colOff>
      <xdr:row>31</xdr:row>
      <xdr:rowOff>91440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0830187-402B-41FA-A15A-C541DB1368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746760</xdr:colOff>
      <xdr:row>32</xdr:row>
      <xdr:rowOff>137160</xdr:rowOff>
    </xdr:from>
    <xdr:to>
      <xdr:col>11</xdr:col>
      <xdr:colOff>617220</xdr:colOff>
      <xdr:row>41</xdr:row>
      <xdr:rowOff>53340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D6C8AE3-5021-4811-B22E-BBC111251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raia\OneDrive\Escritorio\Para%20el%20dashboard\Instrumento%20de%20evaluacio&#769;n%20V1.xlsx" TargetMode="External"/><Relationship Id="rId1" Type="http://schemas.openxmlformats.org/officeDocument/2006/relationships/externalLinkPath" Target="Para%20el%20dashboard/Instrumento%20de%20evaluacio&#769;n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comendaciones generales"/>
      <sheetName val="Adaptabilidad-Rec específicas"/>
      <sheetName val="Accesibilidad-Rec específicas"/>
      <sheetName val="Estimulación positiva-Rec espec"/>
      <sheetName val="Estructura de niveles-Rec espec"/>
      <sheetName val="Mecanismo ecológico-Rec especif"/>
    </sheetNames>
    <sheetDataSet>
      <sheetData sheetId="0"/>
      <sheetData sheetId="1"/>
      <sheetData sheetId="2"/>
      <sheetData sheetId="3"/>
      <sheetData sheetId="4"/>
      <sheetData sheetId="5">
        <row r="3">
          <cell r="J3">
            <v>1</v>
          </cell>
          <cell r="K3">
            <v>0.5</v>
          </cell>
        </row>
        <row r="4">
          <cell r="J4">
            <v>3.25</v>
          </cell>
          <cell r="K4">
            <v>1.125</v>
          </cell>
        </row>
        <row r="5">
          <cell r="J5">
            <v>5.5</v>
          </cell>
          <cell r="K5">
            <v>1.125</v>
          </cell>
        </row>
        <row r="6">
          <cell r="J6">
            <v>7.75</v>
          </cell>
          <cell r="K6">
            <v>1.125</v>
          </cell>
        </row>
        <row r="7">
          <cell r="J7">
            <v>10</v>
          </cell>
          <cell r="K7">
            <v>1.125</v>
          </cell>
        </row>
        <row r="8">
          <cell r="K8">
            <v>5</v>
          </cell>
        </row>
        <row r="12">
          <cell r="J12">
            <v>0</v>
          </cell>
          <cell r="K12">
            <v>0</v>
          </cell>
        </row>
        <row r="13">
          <cell r="J13">
            <v>0.90482705246601935</v>
          </cell>
          <cell r="K13">
            <v>0.42577929156507288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82C572-C239-4E42-A260-D1607DD124AC}" name="Tabla1" displayName="Tabla1" ref="A2:F20" totalsRowShown="0" headerRowDxfId="7" dataDxfId="6">
  <autoFilter ref="A2:F20" xr:uid="{5382C572-C239-4E42-A260-D1607DD124AC}"/>
  <tableColumns count="6">
    <tableColumn id="1" xr3:uid="{8A373257-5856-4825-9058-BEDB0F2166FC}" name="ID" dataDxfId="5"/>
    <tableColumn id="2" xr3:uid="{2DBEBC5A-8B7C-4AC2-B39D-0EB30693960A}" name="Métrica" dataDxfId="4"/>
    <tableColumn id="3" xr3:uid="{41D7A83E-CC8A-4D85-8566-6D49FE70F115}" name="Valor (%)" dataDxfId="3"/>
    <tableColumn id="4" xr3:uid="{C8592054-7D6C-4A98-A109-19E8D2937443}" name="NA" dataDxfId="2"/>
    <tableColumn id="5" xr3:uid="{2091B217-ABC9-4318-9933-C9305968019C}" name="Observaciones" dataDxfId="1"/>
    <tableColumn id="6" xr3:uid="{39F4990F-E5F8-4B5A-BC63-037F79164D1D}" name="Columna1" dataDxfId="0">
      <calculatedColumnFormula>IF(D3="Si","",C3)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128617-1A51-4F88-92C5-EAF4F48B2787}" name="Tabla2" displayName="Tabla2" ref="A27:F40" totalsRowShown="0" headerRowDxfId="14" dataDxfId="13" tableBorderDxfId="16">
  <autoFilter ref="A27:F40" xr:uid="{B4128617-1A51-4F88-92C5-EAF4F48B2787}"/>
  <tableColumns count="6">
    <tableColumn id="1" xr3:uid="{39185A8B-6290-48AE-A929-C57F56BC74E8}" name="ID" dataDxfId="15"/>
    <tableColumn id="2" xr3:uid="{263D8BED-8289-4403-B10C-DF263AE20C19}" name="Métrica" dataDxfId="12"/>
    <tableColumn id="3" xr3:uid="{2814B4E1-004B-472E-A612-3DF16B9A7ADC}" name="Valor (%)" dataDxfId="11"/>
    <tableColumn id="4" xr3:uid="{CD077167-3DA3-42A2-BCE7-B38E2072F104}" name="NA" dataDxfId="10"/>
    <tableColumn id="5" xr3:uid="{EE0DC060-5214-4DC3-96CB-605EEC7ECE5D}" name="Observaciones" dataDxfId="9"/>
    <tableColumn id="6" xr3:uid="{1A7DEDCC-E904-46E3-A32B-35938F18EC61}" name="Columna1" dataDxfId="8">
      <calculatedColumnFormula>IF(D28="Si","",C28)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11" sqref="B11"/>
    </sheetView>
  </sheetViews>
  <sheetFormatPr baseColWidth="10" defaultColWidth="8.88671875" defaultRowHeight="14.4" x14ac:dyDescent="0.3"/>
  <cols>
    <col min="1" max="1" width="20.44140625" customWidth="1"/>
    <col min="2" max="2" width="56" customWidth="1"/>
  </cols>
  <sheetData>
    <row r="1" spans="1:2" x14ac:dyDescent="0.3">
      <c r="A1" s="2" t="s">
        <v>9</v>
      </c>
      <c r="B1" s="2"/>
    </row>
    <row r="2" spans="1:2" x14ac:dyDescent="0.3">
      <c r="A2" s="3" t="s">
        <v>0</v>
      </c>
      <c r="B2" s="3" t="s">
        <v>1</v>
      </c>
    </row>
    <row r="3" spans="1:2" x14ac:dyDescent="0.3">
      <c r="A3" s="4" t="s">
        <v>2</v>
      </c>
      <c r="B3" s="4"/>
    </row>
    <row r="4" spans="1:2" x14ac:dyDescent="0.3">
      <c r="A4" s="4" t="s">
        <v>3</v>
      </c>
      <c r="B4" s="4"/>
    </row>
    <row r="5" spans="1:2" x14ac:dyDescent="0.3">
      <c r="A5" s="4" t="s">
        <v>8</v>
      </c>
      <c r="B5" s="4"/>
    </row>
    <row r="6" spans="1:2" x14ac:dyDescent="0.3">
      <c r="A6" s="4" t="s">
        <v>4</v>
      </c>
      <c r="B6" s="4"/>
    </row>
    <row r="7" spans="1:2" x14ac:dyDescent="0.3">
      <c r="A7" s="4" t="s">
        <v>5</v>
      </c>
      <c r="B7" s="4"/>
    </row>
    <row r="8" spans="1:2" x14ac:dyDescent="0.3">
      <c r="A8" s="4" t="s">
        <v>6</v>
      </c>
      <c r="B8" s="4"/>
    </row>
    <row r="9" spans="1:2" x14ac:dyDescent="0.3">
      <c r="A9" s="4" t="s">
        <v>7</v>
      </c>
      <c r="B9" s="4"/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F098-D887-49D3-8BCF-94AB87A5C795}">
  <dimension ref="A1:K74"/>
  <sheetViews>
    <sheetView tabSelected="1" workbookViewId="0">
      <selection activeCell="C21" sqref="C21"/>
    </sheetView>
  </sheetViews>
  <sheetFormatPr baseColWidth="10" defaultRowHeight="14.4" x14ac:dyDescent="0.3"/>
  <cols>
    <col min="2" max="2" width="57.44140625" customWidth="1"/>
    <col min="5" max="5" width="15.88671875" customWidth="1"/>
    <col min="6" max="6" width="15.33203125" hidden="1" customWidth="1"/>
    <col min="7" max="7" width="11" customWidth="1"/>
    <col min="8" max="8" width="10.109375" customWidth="1"/>
  </cols>
  <sheetData>
    <row r="1" spans="1:11" x14ac:dyDescent="0.3">
      <c r="A1" s="5" t="s">
        <v>11</v>
      </c>
      <c r="B1" s="5"/>
      <c r="C1" s="5"/>
      <c r="D1" s="5"/>
      <c r="E1" s="5"/>
    </row>
    <row r="2" spans="1:11" ht="15" customHeight="1" thickBot="1" x14ac:dyDescent="0.35">
      <c r="A2" s="6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10</v>
      </c>
      <c r="H2" s="35" t="s">
        <v>83</v>
      </c>
      <c r="I2" s="36"/>
      <c r="J2" s="24" t="s">
        <v>84</v>
      </c>
      <c r="K2" s="25"/>
    </row>
    <row r="3" spans="1:11" ht="15" thickBot="1" x14ac:dyDescent="0.35">
      <c r="A3" s="9" t="s">
        <v>17</v>
      </c>
      <c r="B3" s="10" t="s">
        <v>35</v>
      </c>
      <c r="C3" s="15">
        <v>5</v>
      </c>
      <c r="D3" s="16" t="s">
        <v>80</v>
      </c>
      <c r="E3" s="15"/>
      <c r="F3" s="19">
        <f t="shared" ref="F3:F20" si="0">IF(D3="Si","",C3)</f>
        <v>5</v>
      </c>
      <c r="H3" s="37">
        <v>0</v>
      </c>
      <c r="I3" s="37">
        <v>0.2</v>
      </c>
      <c r="J3" s="33" t="s">
        <v>85</v>
      </c>
      <c r="K3" s="34"/>
    </row>
    <row r="4" spans="1:11" ht="15" thickBot="1" x14ac:dyDescent="0.35">
      <c r="A4" s="11" t="s">
        <v>18</v>
      </c>
      <c r="B4" s="12" t="s">
        <v>36</v>
      </c>
      <c r="C4" s="15">
        <v>2</v>
      </c>
      <c r="D4" s="16" t="s">
        <v>80</v>
      </c>
      <c r="E4" s="18"/>
      <c r="F4" s="19">
        <f t="shared" si="0"/>
        <v>2</v>
      </c>
      <c r="H4" s="37">
        <v>0.21</v>
      </c>
      <c r="I4" s="37">
        <v>0.5</v>
      </c>
      <c r="J4" s="31" t="s">
        <v>86</v>
      </c>
      <c r="K4" s="32"/>
    </row>
    <row r="5" spans="1:11" ht="15" thickBot="1" x14ac:dyDescent="0.35">
      <c r="A5" s="11" t="s">
        <v>19</v>
      </c>
      <c r="B5" s="12" t="s">
        <v>37</v>
      </c>
      <c r="C5" s="15">
        <v>5</v>
      </c>
      <c r="D5" s="16" t="s">
        <v>80</v>
      </c>
      <c r="E5" s="18"/>
      <c r="F5" s="19">
        <f t="shared" si="0"/>
        <v>5</v>
      </c>
      <c r="H5" s="37">
        <v>0.51</v>
      </c>
      <c r="I5" s="37">
        <v>0.8</v>
      </c>
      <c r="J5" s="29" t="s">
        <v>87</v>
      </c>
      <c r="K5" s="30"/>
    </row>
    <row r="6" spans="1:11" ht="15" thickBot="1" x14ac:dyDescent="0.35">
      <c r="A6" s="11" t="s">
        <v>20</v>
      </c>
      <c r="B6" s="12" t="s">
        <v>38</v>
      </c>
      <c r="C6" s="15">
        <v>10</v>
      </c>
      <c r="D6" s="16" t="s">
        <v>80</v>
      </c>
      <c r="E6" s="18"/>
      <c r="F6" s="19">
        <f t="shared" si="0"/>
        <v>10</v>
      </c>
      <c r="H6" s="37">
        <v>0.81</v>
      </c>
      <c r="I6" s="37">
        <v>1</v>
      </c>
      <c r="J6" s="27" t="s">
        <v>88</v>
      </c>
      <c r="K6" s="28"/>
    </row>
    <row r="7" spans="1:11" ht="15" thickBot="1" x14ac:dyDescent="0.35">
      <c r="A7" s="11" t="s">
        <v>21</v>
      </c>
      <c r="B7" s="12" t="s">
        <v>39</v>
      </c>
      <c r="C7" s="15">
        <v>5</v>
      </c>
      <c r="D7" s="16" t="s">
        <v>80</v>
      </c>
      <c r="E7" s="18"/>
      <c r="F7" s="19">
        <f t="shared" si="0"/>
        <v>5</v>
      </c>
      <c r="H7" s="38"/>
      <c r="I7" s="38"/>
    </row>
    <row r="8" spans="1:11" ht="15" thickBot="1" x14ac:dyDescent="0.35">
      <c r="A8" s="11" t="s">
        <v>22</v>
      </c>
      <c r="B8" s="12" t="s">
        <v>40</v>
      </c>
      <c r="C8" s="15">
        <v>20</v>
      </c>
      <c r="D8" s="16" t="s">
        <v>80</v>
      </c>
      <c r="E8" s="18"/>
      <c r="F8" s="19">
        <f t="shared" si="0"/>
        <v>20</v>
      </c>
    </row>
    <row r="9" spans="1:11" ht="15" thickBot="1" x14ac:dyDescent="0.35">
      <c r="A9" s="11" t="s">
        <v>23</v>
      </c>
      <c r="B9" s="12" t="s">
        <v>41</v>
      </c>
      <c r="C9" s="15">
        <v>5</v>
      </c>
      <c r="D9" s="16" t="s">
        <v>80</v>
      </c>
      <c r="E9" s="18"/>
      <c r="F9" s="19">
        <f t="shared" si="0"/>
        <v>5</v>
      </c>
    </row>
    <row r="10" spans="1:11" ht="15" thickBot="1" x14ac:dyDescent="0.35">
      <c r="A10" s="11" t="s">
        <v>24</v>
      </c>
      <c r="B10" s="12" t="s">
        <v>42</v>
      </c>
      <c r="C10" s="15">
        <v>20</v>
      </c>
      <c r="D10" s="16" t="s">
        <v>80</v>
      </c>
      <c r="E10" s="18"/>
      <c r="F10" s="19">
        <f t="shared" si="0"/>
        <v>20</v>
      </c>
    </row>
    <row r="11" spans="1:11" ht="15" thickBot="1" x14ac:dyDescent="0.35">
      <c r="A11" s="11" t="s">
        <v>25</v>
      </c>
      <c r="B11" s="12" t="s">
        <v>43</v>
      </c>
      <c r="C11" s="15">
        <v>80</v>
      </c>
      <c r="D11" s="16" t="s">
        <v>80</v>
      </c>
      <c r="E11" s="18"/>
      <c r="F11" s="19">
        <f t="shared" si="0"/>
        <v>80</v>
      </c>
    </row>
    <row r="12" spans="1:11" ht="15" thickBot="1" x14ac:dyDescent="0.35">
      <c r="A12" s="11" t="s">
        <v>26</v>
      </c>
      <c r="B12" s="12" t="s">
        <v>44</v>
      </c>
      <c r="C12" s="15">
        <v>5</v>
      </c>
      <c r="D12" s="16" t="s">
        <v>80</v>
      </c>
      <c r="E12" s="18"/>
      <c r="F12" s="19">
        <f t="shared" si="0"/>
        <v>5</v>
      </c>
    </row>
    <row r="13" spans="1:11" ht="15" thickBot="1" x14ac:dyDescent="0.35">
      <c r="A13" s="11" t="s">
        <v>27</v>
      </c>
      <c r="B13" s="12" t="s">
        <v>45</v>
      </c>
      <c r="C13" s="15">
        <v>70</v>
      </c>
      <c r="D13" s="16" t="s">
        <v>80</v>
      </c>
      <c r="E13" s="18"/>
      <c r="F13" s="19">
        <f t="shared" si="0"/>
        <v>70</v>
      </c>
    </row>
    <row r="14" spans="1:11" ht="15" thickBot="1" x14ac:dyDescent="0.35">
      <c r="A14" s="11" t="s">
        <v>28</v>
      </c>
      <c r="B14" s="12" t="s">
        <v>46</v>
      </c>
      <c r="C14" s="15">
        <v>5</v>
      </c>
      <c r="D14" s="16" t="s">
        <v>80</v>
      </c>
      <c r="E14" s="18"/>
      <c r="F14" s="19">
        <f t="shared" si="0"/>
        <v>5</v>
      </c>
    </row>
    <row r="15" spans="1:11" ht="15" thickBot="1" x14ac:dyDescent="0.35">
      <c r="A15" s="11" t="s">
        <v>29</v>
      </c>
      <c r="B15" s="12" t="s">
        <v>47</v>
      </c>
      <c r="C15" s="15">
        <v>50</v>
      </c>
      <c r="D15" s="16" t="s">
        <v>80</v>
      </c>
      <c r="E15" s="18"/>
      <c r="F15" s="19">
        <f t="shared" si="0"/>
        <v>50</v>
      </c>
    </row>
    <row r="16" spans="1:11" ht="15" thickBot="1" x14ac:dyDescent="0.35">
      <c r="A16" s="11" t="s">
        <v>30</v>
      </c>
      <c r="B16" s="12" t="s">
        <v>48</v>
      </c>
      <c r="C16" s="15">
        <v>5</v>
      </c>
      <c r="D16" s="16" t="s">
        <v>80</v>
      </c>
      <c r="E16" s="18"/>
      <c r="F16" s="19">
        <f t="shared" si="0"/>
        <v>5</v>
      </c>
    </row>
    <row r="17" spans="1:6" ht="15" thickBot="1" x14ac:dyDescent="0.35">
      <c r="A17" s="11" t="s">
        <v>31</v>
      </c>
      <c r="B17" s="12" t="s">
        <v>49</v>
      </c>
      <c r="C17" s="15">
        <v>100</v>
      </c>
      <c r="D17" s="16" t="s">
        <v>80</v>
      </c>
      <c r="E17" s="18"/>
      <c r="F17" s="19">
        <f t="shared" si="0"/>
        <v>100</v>
      </c>
    </row>
    <row r="18" spans="1:6" ht="15" thickBot="1" x14ac:dyDescent="0.35">
      <c r="A18" s="11" t="s">
        <v>32</v>
      </c>
      <c r="B18" s="12" t="s">
        <v>50</v>
      </c>
      <c r="C18" s="15">
        <v>5</v>
      </c>
      <c r="D18" s="16" t="s">
        <v>80</v>
      </c>
      <c r="E18" s="18"/>
      <c r="F18" s="19">
        <f t="shared" si="0"/>
        <v>5</v>
      </c>
    </row>
    <row r="19" spans="1:6" ht="15" thickBot="1" x14ac:dyDescent="0.35">
      <c r="A19" s="11" t="s">
        <v>33</v>
      </c>
      <c r="B19" s="12" t="s">
        <v>51</v>
      </c>
      <c r="C19" s="15">
        <v>70</v>
      </c>
      <c r="D19" s="16" t="s">
        <v>80</v>
      </c>
      <c r="E19" s="18"/>
      <c r="F19" s="19">
        <f t="shared" si="0"/>
        <v>70</v>
      </c>
    </row>
    <row r="20" spans="1:6" ht="15" thickBot="1" x14ac:dyDescent="0.35">
      <c r="A20" s="11" t="s">
        <v>34</v>
      </c>
      <c r="B20" s="12" t="s">
        <v>52</v>
      </c>
      <c r="C20" s="15">
        <v>5</v>
      </c>
      <c r="D20" s="16" t="s">
        <v>80</v>
      </c>
      <c r="E20" s="18"/>
      <c r="F20" s="19">
        <f t="shared" si="0"/>
        <v>5</v>
      </c>
    </row>
    <row r="21" spans="1:6" x14ac:dyDescent="0.3">
      <c r="A21" s="20"/>
      <c r="B21" s="21"/>
      <c r="C21" s="22"/>
      <c r="D21" s="23"/>
      <c r="E21" s="22"/>
      <c r="F21" s="19"/>
    </row>
    <row r="22" spans="1:6" x14ac:dyDescent="0.3">
      <c r="B22" s="20"/>
      <c r="C22" s="22"/>
      <c r="D22" s="23"/>
      <c r="E22" s="22"/>
      <c r="F22" s="6">
        <f>COUNT(F3:F20)</f>
        <v>18</v>
      </c>
    </row>
    <row r="23" spans="1:6" x14ac:dyDescent="0.3">
      <c r="B23" s="20"/>
      <c r="C23" s="22"/>
      <c r="D23" s="23"/>
      <c r="E23" s="22"/>
      <c r="F23" s="6">
        <f>SUM(F3:F20)</f>
        <v>467</v>
      </c>
    </row>
    <row r="24" spans="1:6" x14ac:dyDescent="0.3">
      <c r="B24" s="20"/>
      <c r="C24" s="22"/>
      <c r="D24" s="23"/>
      <c r="E24" s="22"/>
      <c r="F24" s="6">
        <f>IF(COUNT(F3:F20)=0,"No evaluado",SUM(F3:F20)/COUNT(F3:F20))</f>
        <v>25.944444444444443</v>
      </c>
    </row>
    <row r="25" spans="1:6" x14ac:dyDescent="0.3">
      <c r="A25" s="7"/>
      <c r="B25" s="7"/>
      <c r="C25" s="7"/>
      <c r="D25" s="7"/>
      <c r="E25" s="7"/>
      <c r="F25" s="1" t="str">
        <f>IF(COUNT(F3:F20)&gt;=19*0.6,"Válido","Evaluación parcial")</f>
        <v>Válido</v>
      </c>
    </row>
    <row r="26" spans="1:6" x14ac:dyDescent="0.3">
      <c r="A26" s="5" t="s">
        <v>53</v>
      </c>
      <c r="B26" s="5"/>
      <c r="C26" s="5"/>
      <c r="D26" s="5"/>
      <c r="E26" s="5"/>
    </row>
    <row r="27" spans="1:6" ht="15" thickBot="1" x14ac:dyDescent="0.35">
      <c r="A27" s="8" t="s">
        <v>12</v>
      </c>
      <c r="B27" s="8" t="s">
        <v>13</v>
      </c>
      <c r="C27" s="8" t="s">
        <v>14</v>
      </c>
      <c r="D27" s="8" t="s">
        <v>15</v>
      </c>
      <c r="E27" s="8" t="s">
        <v>16</v>
      </c>
      <c r="F27" s="8" t="s">
        <v>10</v>
      </c>
    </row>
    <row r="28" spans="1:6" ht="15" thickBot="1" x14ac:dyDescent="0.35">
      <c r="A28" s="13" t="s">
        <v>54</v>
      </c>
      <c r="B28" s="13" t="s">
        <v>67</v>
      </c>
      <c r="C28" s="16">
        <v>80</v>
      </c>
      <c r="D28" s="16" t="s">
        <v>80</v>
      </c>
      <c r="E28" s="16"/>
      <c r="F28" s="8">
        <f t="shared" ref="F28:F40" si="1">IF(D28="Si","",C28)</f>
        <v>80</v>
      </c>
    </row>
    <row r="29" spans="1:6" ht="15" thickBot="1" x14ac:dyDescent="0.35">
      <c r="A29" s="14" t="s">
        <v>55</v>
      </c>
      <c r="B29" s="14" t="s">
        <v>68</v>
      </c>
      <c r="C29" s="16">
        <v>80</v>
      </c>
      <c r="D29" s="16" t="s">
        <v>80</v>
      </c>
      <c r="E29" s="17"/>
      <c r="F29" s="8">
        <f t="shared" si="1"/>
        <v>80</v>
      </c>
    </row>
    <row r="30" spans="1:6" ht="28.2" thickBot="1" x14ac:dyDescent="0.35">
      <c r="A30" s="14" t="s">
        <v>56</v>
      </c>
      <c r="B30" s="14" t="s">
        <v>69</v>
      </c>
      <c r="C30" s="16">
        <v>80</v>
      </c>
      <c r="D30" s="16" t="s">
        <v>80</v>
      </c>
      <c r="E30" s="17"/>
      <c r="F30" s="8">
        <f t="shared" si="1"/>
        <v>80</v>
      </c>
    </row>
    <row r="31" spans="1:6" ht="15" thickBot="1" x14ac:dyDescent="0.35">
      <c r="A31" s="14" t="s">
        <v>57</v>
      </c>
      <c r="B31" s="14" t="s">
        <v>70</v>
      </c>
      <c r="C31" s="16">
        <v>80</v>
      </c>
      <c r="D31" s="16" t="s">
        <v>80</v>
      </c>
      <c r="E31" s="17"/>
      <c r="F31" s="8">
        <f t="shared" si="1"/>
        <v>80</v>
      </c>
    </row>
    <row r="32" spans="1:6" ht="15" thickBot="1" x14ac:dyDescent="0.35">
      <c r="A32" s="14" t="s">
        <v>58</v>
      </c>
      <c r="B32" s="14" t="s">
        <v>71</v>
      </c>
      <c r="C32" s="16">
        <v>80</v>
      </c>
      <c r="D32" s="16" t="s">
        <v>80</v>
      </c>
      <c r="E32" s="17"/>
      <c r="F32" s="8">
        <f t="shared" si="1"/>
        <v>80</v>
      </c>
    </row>
    <row r="33" spans="1:6" ht="28.2" thickBot="1" x14ac:dyDescent="0.35">
      <c r="A33" s="14" t="s">
        <v>59</v>
      </c>
      <c r="B33" s="14" t="s">
        <v>72</v>
      </c>
      <c r="C33" s="16">
        <v>80</v>
      </c>
      <c r="D33" s="16" t="s">
        <v>80</v>
      </c>
      <c r="E33" s="17"/>
      <c r="F33" s="8">
        <f t="shared" si="1"/>
        <v>80</v>
      </c>
    </row>
    <row r="34" spans="1:6" ht="15" thickBot="1" x14ac:dyDescent="0.35">
      <c r="A34" s="14" t="s">
        <v>60</v>
      </c>
      <c r="B34" s="14" t="s">
        <v>73</v>
      </c>
      <c r="C34" s="16">
        <v>80</v>
      </c>
      <c r="D34" s="16" t="s">
        <v>80</v>
      </c>
      <c r="E34" s="17"/>
      <c r="F34" s="8">
        <f t="shared" si="1"/>
        <v>80</v>
      </c>
    </row>
    <row r="35" spans="1:6" ht="28.2" thickBot="1" x14ac:dyDescent="0.35">
      <c r="A35" s="14" t="s">
        <v>61</v>
      </c>
      <c r="B35" s="14" t="s">
        <v>74</v>
      </c>
      <c r="C35" s="16">
        <v>80</v>
      </c>
      <c r="D35" s="16" t="s">
        <v>80</v>
      </c>
      <c r="E35" s="17"/>
      <c r="F35" s="8">
        <f t="shared" si="1"/>
        <v>80</v>
      </c>
    </row>
    <row r="36" spans="1:6" ht="15" thickBot="1" x14ac:dyDescent="0.35">
      <c r="A36" s="14" t="s">
        <v>62</v>
      </c>
      <c r="B36" s="14" t="s">
        <v>79</v>
      </c>
      <c r="C36" s="16">
        <v>80</v>
      </c>
      <c r="D36" s="16" t="s">
        <v>80</v>
      </c>
      <c r="E36" s="17"/>
      <c r="F36" s="8">
        <f t="shared" si="1"/>
        <v>80</v>
      </c>
    </row>
    <row r="37" spans="1:6" ht="28.2" thickBot="1" x14ac:dyDescent="0.35">
      <c r="A37" s="14" t="s">
        <v>63</v>
      </c>
      <c r="B37" s="14" t="s">
        <v>75</v>
      </c>
      <c r="C37" s="16">
        <v>80</v>
      </c>
      <c r="D37" s="16" t="s">
        <v>80</v>
      </c>
      <c r="E37" s="17"/>
      <c r="F37" s="8">
        <f t="shared" si="1"/>
        <v>80</v>
      </c>
    </row>
    <row r="38" spans="1:6" ht="15" thickBot="1" x14ac:dyDescent="0.35">
      <c r="A38" s="14" t="s">
        <v>64</v>
      </c>
      <c r="B38" s="14" t="s">
        <v>76</v>
      </c>
      <c r="C38" s="16">
        <v>80</v>
      </c>
      <c r="D38" s="16" t="s">
        <v>80</v>
      </c>
      <c r="E38" s="17"/>
      <c r="F38" s="8">
        <f t="shared" si="1"/>
        <v>80</v>
      </c>
    </row>
    <row r="39" spans="1:6" ht="28.2" thickBot="1" x14ac:dyDescent="0.35">
      <c r="A39" s="14" t="s">
        <v>65</v>
      </c>
      <c r="B39" s="14" t="s">
        <v>77</v>
      </c>
      <c r="C39" s="16">
        <v>80</v>
      </c>
      <c r="D39" s="16" t="s">
        <v>80</v>
      </c>
      <c r="E39" s="17"/>
      <c r="F39" s="8">
        <f t="shared" si="1"/>
        <v>80</v>
      </c>
    </row>
    <row r="40" spans="1:6" ht="15" thickBot="1" x14ac:dyDescent="0.35">
      <c r="A40" s="14" t="s">
        <v>66</v>
      </c>
      <c r="B40" s="14" t="s">
        <v>78</v>
      </c>
      <c r="C40" s="16">
        <v>80</v>
      </c>
      <c r="D40" s="16" t="s">
        <v>80</v>
      </c>
      <c r="E40" s="17"/>
      <c r="F40" s="8">
        <f t="shared" si="1"/>
        <v>80</v>
      </c>
    </row>
    <row r="42" spans="1:6" x14ac:dyDescent="0.3">
      <c r="F42" s="6">
        <f>COUNT(F28:F40)</f>
        <v>13</v>
      </c>
    </row>
    <row r="43" spans="1:6" x14ac:dyDescent="0.3">
      <c r="F43" s="6">
        <f>SUM(F28:F40)</f>
        <v>1040</v>
      </c>
    </row>
    <row r="44" spans="1:6" x14ac:dyDescent="0.3">
      <c r="F44" s="6">
        <f>IF(COUNT(F28:F40)=0,"No evaluado",SUM(F28:F40)/COUNT(F28:F40))</f>
        <v>80</v>
      </c>
    </row>
    <row r="45" spans="1:6" x14ac:dyDescent="0.3">
      <c r="F45" s="1" t="str">
        <f>IF(COUNT(F28:F40)&gt;=13*0.6,"Válido","Evaluación parcial")</f>
        <v>Válido</v>
      </c>
    </row>
    <row r="47" spans="1:6" hidden="1" x14ac:dyDescent="0.3">
      <c r="D47" t="s">
        <v>81</v>
      </c>
      <c r="E47" t="s">
        <v>94</v>
      </c>
      <c r="F47">
        <f>IF(OR(F24="",F44=""),"Evaluación parcial",(F24+F44)/2)</f>
        <v>52.972222222222221</v>
      </c>
    </row>
    <row r="48" spans="1:6" hidden="1" x14ac:dyDescent="0.3">
      <c r="D48" t="s">
        <v>82</v>
      </c>
    </row>
    <row r="49" spans="4:6" hidden="1" x14ac:dyDescent="0.3"/>
    <row r="50" spans="4:6" hidden="1" x14ac:dyDescent="0.3">
      <c r="D50" s="39" t="s">
        <v>89</v>
      </c>
      <c r="E50" s="39">
        <f>180-(F24*180/100)</f>
        <v>133.30000000000001</v>
      </c>
      <c r="F50" s="39"/>
    </row>
    <row r="51" spans="4:6" hidden="1" x14ac:dyDescent="0.3">
      <c r="D51" s="39"/>
      <c r="E51" s="39">
        <f>RADIANS(E50)</f>
        <v>2.3265238929084413</v>
      </c>
      <c r="F51" s="39"/>
    </row>
    <row r="52" spans="4:6" hidden="1" x14ac:dyDescent="0.3">
      <c r="D52" s="39"/>
      <c r="E52" s="39" t="s">
        <v>90</v>
      </c>
      <c r="F52" s="39" t="s">
        <v>91</v>
      </c>
    </row>
    <row r="53" spans="4:6" hidden="1" x14ac:dyDescent="0.3">
      <c r="D53" s="39" t="s">
        <v>92</v>
      </c>
      <c r="E53" s="39">
        <v>0</v>
      </c>
      <c r="F53" s="39">
        <v>0</v>
      </c>
    </row>
    <row r="54" spans="4:6" hidden="1" x14ac:dyDescent="0.3">
      <c r="D54" s="39" t="s">
        <v>93</v>
      </c>
      <c r="E54" s="39">
        <f>COS(E51)*0.8</f>
        <v>-0.54865468234190107</v>
      </c>
      <c r="F54" s="39">
        <f>SIN(E51)*0.8</f>
        <v>0.58221820612576847</v>
      </c>
    </row>
    <row r="55" spans="4:6" hidden="1" x14ac:dyDescent="0.3"/>
    <row r="56" spans="4:6" hidden="1" x14ac:dyDescent="0.3">
      <c r="F56" s="26">
        <v>20</v>
      </c>
    </row>
    <row r="57" spans="4:6" hidden="1" x14ac:dyDescent="0.3">
      <c r="F57" s="26">
        <v>30</v>
      </c>
    </row>
    <row r="58" spans="4:6" hidden="1" x14ac:dyDescent="0.3">
      <c r="F58" s="26">
        <v>30</v>
      </c>
    </row>
    <row r="59" spans="4:6" hidden="1" x14ac:dyDescent="0.3">
      <c r="F59" s="26">
        <v>20</v>
      </c>
    </row>
    <row r="60" spans="4:6" hidden="1" x14ac:dyDescent="0.3">
      <c r="F60" s="40">
        <v>100</v>
      </c>
    </row>
    <row r="61" spans="4:6" hidden="1" x14ac:dyDescent="0.3"/>
    <row r="62" spans="4:6" hidden="1" x14ac:dyDescent="0.3">
      <c r="D62" s="39" t="s">
        <v>89</v>
      </c>
      <c r="E62" s="39">
        <f>180-(F44*180/100)</f>
        <v>36</v>
      </c>
      <c r="F62" s="39"/>
    </row>
    <row r="63" spans="4:6" hidden="1" x14ac:dyDescent="0.3">
      <c r="D63" s="39"/>
      <c r="E63" s="39">
        <f>RADIANS(E62)</f>
        <v>0.62831853071795862</v>
      </c>
      <c r="F63" s="39"/>
    </row>
    <row r="64" spans="4:6" hidden="1" x14ac:dyDescent="0.3">
      <c r="D64" s="39"/>
      <c r="E64" s="39" t="s">
        <v>90</v>
      </c>
      <c r="F64" s="39" t="s">
        <v>91</v>
      </c>
    </row>
    <row r="65" spans="4:6" hidden="1" x14ac:dyDescent="0.3">
      <c r="D65" s="39" t="s">
        <v>92</v>
      </c>
      <c r="E65" s="39">
        <v>0</v>
      </c>
      <c r="F65" s="39">
        <v>0</v>
      </c>
    </row>
    <row r="66" spans="4:6" hidden="1" x14ac:dyDescent="0.3">
      <c r="D66" s="39" t="s">
        <v>93</v>
      </c>
      <c r="E66" s="39">
        <f>COS(E63)*0.8</f>
        <v>0.64721359549995805</v>
      </c>
      <c r="F66" s="39">
        <f>SIN(E63)*0.8</f>
        <v>0.47022820183397851</v>
      </c>
    </row>
    <row r="67" spans="4:6" hidden="1" x14ac:dyDescent="0.3"/>
    <row r="68" spans="4:6" hidden="1" x14ac:dyDescent="0.3">
      <c r="D68" s="39" t="s">
        <v>89</v>
      </c>
      <c r="E68" s="39">
        <f>180-(F47*180/100)</f>
        <v>84.65</v>
      </c>
      <c r="F68" s="39"/>
    </row>
    <row r="69" spans="4:6" hidden="1" x14ac:dyDescent="0.3">
      <c r="D69" s="39"/>
      <c r="E69" s="39">
        <f>RADIANS(E68)</f>
        <v>1.4774212118132</v>
      </c>
      <c r="F69" s="39"/>
    </row>
    <row r="70" spans="4:6" hidden="1" x14ac:dyDescent="0.3">
      <c r="D70" s="39"/>
      <c r="E70" s="39" t="s">
        <v>90</v>
      </c>
      <c r="F70" s="39" t="s">
        <v>91</v>
      </c>
    </row>
    <row r="71" spans="4:6" hidden="1" x14ac:dyDescent="0.3">
      <c r="D71" s="39" t="s">
        <v>92</v>
      </c>
      <c r="E71" s="39">
        <v>0</v>
      </c>
      <c r="F71" s="39">
        <v>0</v>
      </c>
    </row>
    <row r="72" spans="4:6" hidden="1" x14ac:dyDescent="0.3">
      <c r="D72" s="39" t="s">
        <v>93</v>
      </c>
      <c r="E72" s="39">
        <f>COS(E69)*0.8</f>
        <v>7.45915887084002E-2</v>
      </c>
      <c r="F72" s="39">
        <f>SIN(E69)*0.8</f>
        <v>0.79651496840546376</v>
      </c>
    </row>
    <row r="73" spans="4:6" hidden="1" x14ac:dyDescent="0.3"/>
    <row r="74" spans="4:6" hidden="1" x14ac:dyDescent="0.3"/>
  </sheetData>
  <mergeCells count="8">
    <mergeCell ref="J6:K6"/>
    <mergeCell ref="J5:K5"/>
    <mergeCell ref="J4:K4"/>
    <mergeCell ref="J3:K3"/>
    <mergeCell ref="A1:E1"/>
    <mergeCell ref="A26:E26"/>
    <mergeCell ref="H2:I2"/>
    <mergeCell ref="J2:K2"/>
  </mergeCells>
  <dataValidations count="2">
    <dataValidation type="decimal" allowBlank="1" showInputMessage="1" showErrorMessage="1" sqref="C3:C24 C28:C40" xr:uid="{FCA37309-2460-40B6-BC6B-66E67A5E0704}">
      <formula1>0</formula1>
      <formula2>100</formula2>
    </dataValidation>
    <dataValidation type="list" allowBlank="1" showInputMessage="1" showErrorMessage="1" sqref="D28:D40 D3:D24" xr:uid="{545B49E8-63CE-46CD-BFE6-198CBF239B97}">
      <formula1>"Si,No"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Inicio</vt:lpstr>
      <vt:lpstr>Ingreso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Braian Alexis Bastidas Diaz</dc:creator>
  <cp:lastModifiedBy>Braian Alexis Bastidas Diaz</cp:lastModifiedBy>
  <dcterms:created xsi:type="dcterms:W3CDTF">2015-06-05T18:19:34Z</dcterms:created>
  <dcterms:modified xsi:type="dcterms:W3CDTF">2026-02-26T00:28:25Z</dcterms:modified>
</cp:coreProperties>
</file>